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570" activeTab="2"/>
  </bookViews>
  <sheets>
    <sheet name="Staff_Master" sheetId="1" r:id="rId1"/>
    <sheet name="Settings" sheetId="3" r:id="rId2"/>
    <sheet name="Shift_Requests" sheetId="2" r:id="rId3"/>
    <sheet name="Prev_Month" sheetId="4" r:id="rId4"/>
    <sheet name="shift_result" sheetId="5" r:id="rId5"/>
  </sheets>
  <calcPr calcId="125725"/>
</workbook>
</file>

<file path=xl/calcChain.xml><?xml version="1.0" encoding="utf-8"?>
<calcChain xmlns="http://schemas.openxmlformats.org/spreadsheetml/2006/main">
  <c r="B7" i="3"/>
  <c r="B8" s="1"/>
  <c r="A8"/>
  <c r="A7"/>
  <c r="B6"/>
  <c r="A6"/>
  <c r="A5"/>
  <c r="F2" i="4"/>
  <c r="E2" s="1"/>
  <c r="D2" s="1"/>
  <c r="C2" s="1"/>
  <c r="B2" s="1"/>
  <c r="A1" i="2"/>
  <c r="A1" i="4" s="1"/>
  <c r="B2" i="2"/>
  <c r="C2" s="1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AF3" s="1"/>
  <c r="A4" i="4"/>
  <c r="A5"/>
  <c r="A6"/>
  <c r="A7"/>
  <c r="A8"/>
  <c r="A9"/>
  <c r="A10"/>
  <c r="A11"/>
  <c r="A12"/>
  <c r="A13"/>
  <c r="A14"/>
  <c r="A3"/>
  <c r="A5" i="2"/>
  <c r="A6"/>
  <c r="A7"/>
  <c r="A8"/>
  <c r="A9"/>
  <c r="A10"/>
  <c r="A11"/>
  <c r="A12"/>
  <c r="A13"/>
  <c r="A14"/>
  <c r="A15"/>
  <c r="A4"/>
  <c r="B3" l="1"/>
  <c r="F3"/>
  <c r="N3"/>
  <c r="J3"/>
  <c r="R3"/>
  <c r="V3"/>
  <c r="Z3"/>
  <c r="AD3"/>
  <c r="AA3"/>
  <c r="S3"/>
  <c r="K3"/>
  <c r="C3"/>
  <c r="AB3"/>
  <c r="T3"/>
  <c r="L3"/>
  <c r="D3"/>
  <c r="AC3"/>
  <c r="U3"/>
  <c r="M3"/>
  <c r="E3"/>
  <c r="AE3"/>
  <c r="W3"/>
  <c r="O3"/>
  <c r="G3"/>
  <c r="X3"/>
  <c r="P3"/>
  <c r="H3"/>
  <c r="Y3"/>
  <c r="Q3"/>
  <c r="I3"/>
</calcChain>
</file>

<file path=xl/sharedStrings.xml><?xml version="1.0" encoding="utf-8"?>
<sst xmlns="http://schemas.openxmlformats.org/spreadsheetml/2006/main" count="209" uniqueCount="109">
  <si>
    <t>職員名</t>
    <rPh sb="0" eb="2">
      <t>ショクイン</t>
    </rPh>
    <rPh sb="2" eb="3">
      <t>メイ</t>
    </rPh>
    <phoneticPr fontId="1"/>
  </si>
  <si>
    <t>契約区分</t>
    <rPh sb="0" eb="2">
      <t>ケイヤク</t>
    </rPh>
    <rPh sb="2" eb="4">
      <t>クブン</t>
    </rPh>
    <phoneticPr fontId="1"/>
  </si>
  <si>
    <t>ユニット</t>
    <phoneticPr fontId="1"/>
  </si>
  <si>
    <t>固定公休</t>
    <rPh sb="0" eb="2">
      <t>コテイ</t>
    </rPh>
    <rPh sb="2" eb="4">
      <t>コウキュウ</t>
    </rPh>
    <phoneticPr fontId="1"/>
  </si>
  <si>
    <t>備考</t>
    <rPh sb="0" eb="2">
      <t>ビコウ</t>
    </rPh>
    <phoneticPr fontId="1"/>
  </si>
  <si>
    <t>内野</t>
    <rPh sb="0" eb="2">
      <t>ウチノ</t>
    </rPh>
    <phoneticPr fontId="1"/>
  </si>
  <si>
    <t>千本</t>
    <rPh sb="0" eb="2">
      <t>チモト</t>
    </rPh>
    <phoneticPr fontId="1"/>
  </si>
  <si>
    <t>佐々木</t>
    <rPh sb="0" eb="3">
      <t>ササキ</t>
    </rPh>
    <phoneticPr fontId="1"/>
  </si>
  <si>
    <t>長谷川</t>
    <rPh sb="0" eb="3">
      <t>ハセガワ</t>
    </rPh>
    <phoneticPr fontId="1"/>
  </si>
  <si>
    <t>平川</t>
    <rPh sb="0" eb="2">
      <t>ヒラカワ</t>
    </rPh>
    <phoneticPr fontId="1"/>
  </si>
  <si>
    <t>小島</t>
    <rPh sb="0" eb="2">
      <t>コジマ</t>
    </rPh>
    <phoneticPr fontId="1"/>
  </si>
  <si>
    <t>40h</t>
  </si>
  <si>
    <t>パート</t>
  </si>
  <si>
    <t>A</t>
  </si>
  <si>
    <t>B</t>
  </si>
  <si>
    <t>職員名</t>
    <rPh sb="0" eb="3">
      <t>ショクインメイ</t>
    </rPh>
    <phoneticPr fontId="1"/>
  </si>
  <si>
    <t>項目</t>
    <rPh sb="0" eb="2">
      <t>コウモク</t>
    </rPh>
    <phoneticPr fontId="1"/>
  </si>
  <si>
    <t>値</t>
    <rPh sb="0" eb="1">
      <t>アタイ</t>
    </rPh>
    <phoneticPr fontId="1"/>
  </si>
  <si>
    <t>作成月</t>
    <rPh sb="0" eb="3">
      <t>サクセイツキ</t>
    </rPh>
    <phoneticPr fontId="1"/>
  </si>
  <si>
    <t>早出</t>
    <rPh sb="0" eb="2">
      <t>ハヤデ</t>
    </rPh>
    <phoneticPr fontId="1"/>
  </si>
  <si>
    <t>遅出</t>
    <rPh sb="0" eb="2">
      <t>オソデ</t>
    </rPh>
    <phoneticPr fontId="1"/>
  </si>
  <si>
    <t>夜勤</t>
    <rPh sb="0" eb="2">
      <t>ヤキン</t>
    </rPh>
    <phoneticPr fontId="1"/>
  </si>
  <si>
    <t>最低必要人数</t>
    <rPh sb="0" eb="6">
      <t>サイテイヒツヨウニンズウ</t>
    </rPh>
    <phoneticPr fontId="1"/>
  </si>
  <si>
    <t>ユニットA</t>
    <phoneticPr fontId="1"/>
  </si>
  <si>
    <t>ユニットB</t>
    <phoneticPr fontId="1"/>
  </si>
  <si>
    <t>施設全体で1日1名（ユニットAまたはB、あるいは共通スタッフから1名選出）。</t>
    <rPh sb="0" eb="2">
      <t>シセツ</t>
    </rPh>
    <rPh sb="2" eb="4">
      <t>ゼンタイ</t>
    </rPh>
    <rPh sb="6" eb="7">
      <t>ニチ</t>
    </rPh>
    <rPh sb="8" eb="9">
      <t>メイ</t>
    </rPh>
    <rPh sb="24" eb="26">
      <t>キョウツウ</t>
    </rPh>
    <rPh sb="33" eb="34">
      <t>メイ</t>
    </rPh>
    <rPh sb="34" eb="36">
      <t>センシュツ</t>
    </rPh>
    <phoneticPr fontId="1"/>
  </si>
  <si>
    <t>役職</t>
    <rPh sb="0" eb="2">
      <t>ヤクショク</t>
    </rPh>
    <phoneticPr fontId="1"/>
  </si>
  <si>
    <t>リーダー</t>
  </si>
  <si>
    <t>総合</t>
  </si>
  <si>
    <t>一般</t>
  </si>
  <si>
    <t>近藤</t>
    <rPh sb="0" eb="2">
      <t>コンドウ</t>
    </rPh>
    <phoneticPr fontId="1"/>
  </si>
  <si>
    <t>榊原</t>
    <rPh sb="0" eb="2">
      <t>サカキバラ</t>
    </rPh>
    <phoneticPr fontId="1"/>
  </si>
  <si>
    <t>松本</t>
    <rPh sb="0" eb="2">
      <t>マツモト</t>
    </rPh>
    <phoneticPr fontId="1"/>
  </si>
  <si>
    <t>32h</t>
  </si>
  <si>
    <t>早出のみ。週4日勤務。</t>
    <rPh sb="0" eb="2">
      <t>ハヤデ</t>
    </rPh>
    <rPh sb="5" eb="6">
      <t>シュウ</t>
    </rPh>
    <rPh sb="7" eb="8">
      <t>ニチ</t>
    </rPh>
    <rPh sb="8" eb="10">
      <t>キンム</t>
    </rPh>
    <phoneticPr fontId="1"/>
  </si>
  <si>
    <t>○</t>
  </si>
  <si>
    <t>公休</t>
    <rPh sb="0" eb="2">
      <t>コウキュウ</t>
    </rPh>
    <phoneticPr fontId="1"/>
  </si>
  <si>
    <t>勤務略称</t>
    <rPh sb="0" eb="4">
      <t>キンムリャクショウ</t>
    </rPh>
    <phoneticPr fontId="1"/>
  </si>
  <si>
    <t>早</t>
    <rPh sb="0" eb="1">
      <t>ハヤ</t>
    </rPh>
    <phoneticPr fontId="1"/>
  </si>
  <si>
    <t>日</t>
    <rPh sb="0" eb="1">
      <t>ニチ</t>
    </rPh>
    <phoneticPr fontId="1"/>
  </si>
  <si>
    <t>遅</t>
    <rPh sb="0" eb="1">
      <t>チ</t>
    </rPh>
    <phoneticPr fontId="1"/>
  </si>
  <si>
    <t>夜</t>
    <rPh sb="0" eb="1">
      <t>ヨル</t>
    </rPh>
    <phoneticPr fontId="1"/>
  </si>
  <si>
    <t>×</t>
    <phoneticPr fontId="1"/>
  </si>
  <si>
    <t>正式名称</t>
    <rPh sb="0" eb="4">
      <t>セイシキメイショウ</t>
    </rPh>
    <phoneticPr fontId="1"/>
  </si>
  <si>
    <t>早出</t>
  </si>
  <si>
    <t>早出</t>
    <rPh sb="0" eb="2">
      <t>ハヤデ</t>
    </rPh>
    <phoneticPr fontId="1"/>
  </si>
  <si>
    <t>日勤</t>
  </si>
  <si>
    <t>日勤</t>
    <rPh sb="0" eb="2">
      <t>ニッキン</t>
    </rPh>
    <phoneticPr fontId="1"/>
  </si>
  <si>
    <t>遅出</t>
  </si>
  <si>
    <t>遅出</t>
    <rPh sb="0" eb="2">
      <t>オソデ</t>
    </rPh>
    <phoneticPr fontId="1"/>
  </si>
  <si>
    <t>夜勤</t>
  </si>
  <si>
    <t>夜勤</t>
    <rPh sb="0" eb="2">
      <t>ヤキン</t>
    </rPh>
    <phoneticPr fontId="1"/>
  </si>
  <si>
    <t>休み</t>
  </si>
  <si>
    <t>休み</t>
    <rPh sb="0" eb="1">
      <t>ヤス</t>
    </rPh>
    <phoneticPr fontId="1"/>
  </si>
  <si>
    <t>勤務時間</t>
    <rPh sb="0" eb="4">
      <t>キンムジカン</t>
    </rPh>
    <phoneticPr fontId="1"/>
  </si>
  <si>
    <t>07:00~16:00</t>
    <phoneticPr fontId="1"/>
  </si>
  <si>
    <t>08:30~17:30</t>
    <phoneticPr fontId="1"/>
  </si>
  <si>
    <t>13:00~22:00</t>
    <phoneticPr fontId="1"/>
  </si>
  <si>
    <t>22:00~0700</t>
    <phoneticPr fontId="1"/>
  </si>
  <si>
    <t>AIへの説明</t>
    <rPh sb="4" eb="6">
      <t>セツメイ</t>
    </rPh>
    <phoneticPr fontId="1"/>
  </si>
  <si>
    <t>1日の始まりのシフト</t>
    <rPh sb="1" eb="2">
      <t>ニチ</t>
    </rPh>
    <rPh sb="3" eb="4">
      <t>ハジ</t>
    </rPh>
    <phoneticPr fontId="1"/>
  </si>
  <si>
    <t>標準的なシフト</t>
    <rPh sb="0" eb="3">
      <t>ヒョウジュンテキ</t>
    </rPh>
    <phoneticPr fontId="1"/>
  </si>
  <si>
    <t>1日の終わりのシフト</t>
    <rPh sb="1" eb="2">
      <t>ニチ</t>
    </rPh>
    <rPh sb="3" eb="4">
      <t>オ</t>
    </rPh>
    <phoneticPr fontId="1"/>
  </si>
  <si>
    <t>翌朝までの宿泊を伴うシフト</t>
    <rPh sb="0" eb="2">
      <t>ヨクアサ</t>
    </rPh>
    <rPh sb="5" eb="7">
      <t>シュクハク</t>
    </rPh>
    <rPh sb="8" eb="9">
      <t>トモナ</t>
    </rPh>
    <phoneticPr fontId="1"/>
  </si>
  <si>
    <t>勤務なし</t>
    <rPh sb="0" eb="2">
      <t>キンム</t>
    </rPh>
    <phoneticPr fontId="1"/>
  </si>
  <si>
    <t>勤務の組み合わせ禁止パターン</t>
    <rPh sb="0" eb="2">
      <t>キンム</t>
    </rPh>
    <rPh sb="3" eb="4">
      <t>ク</t>
    </rPh>
    <rPh sb="5" eb="6">
      <t>ア</t>
    </rPh>
    <rPh sb="8" eb="10">
      <t>キンシ</t>
    </rPh>
    <phoneticPr fontId="1"/>
  </si>
  <si>
    <t>以下の連続した勤務パターンは、休息時間が短すぎるため禁止とします。</t>
    <rPh sb="0" eb="2">
      <t>イカ</t>
    </rPh>
    <rPh sb="3" eb="5">
      <t>レンゾク</t>
    </rPh>
    <rPh sb="7" eb="9">
      <t>キンム</t>
    </rPh>
    <rPh sb="15" eb="19">
      <t>キュウソクジカン</t>
    </rPh>
    <rPh sb="20" eb="21">
      <t>ミジカ</t>
    </rPh>
    <rPh sb="26" eb="28">
      <t>キンシ</t>
    </rPh>
    <phoneticPr fontId="1"/>
  </si>
  <si>
    <t>遅→早</t>
    <rPh sb="0" eb="1">
      <t>チ</t>
    </rPh>
    <rPh sb="2" eb="3">
      <t>ハヤ</t>
    </rPh>
    <phoneticPr fontId="1"/>
  </si>
  <si>
    <t>遅出の翌日に早出を入れない（最低11時間の休息が必要）</t>
    <rPh sb="0" eb="2">
      <t>オソデ</t>
    </rPh>
    <rPh sb="3" eb="5">
      <t>ヨクジツ</t>
    </rPh>
    <rPh sb="6" eb="8">
      <t>ハヤデ</t>
    </rPh>
    <rPh sb="9" eb="10">
      <t>イ</t>
    </rPh>
    <rPh sb="14" eb="16">
      <t>サイテイ</t>
    </rPh>
    <rPh sb="18" eb="20">
      <t>ジカン</t>
    </rPh>
    <rPh sb="21" eb="23">
      <t>キュウソク</t>
    </rPh>
    <rPh sb="24" eb="26">
      <t>ヒツヨウ</t>
    </rPh>
    <phoneticPr fontId="1"/>
  </si>
  <si>
    <t>夜→早</t>
    <rPh sb="0" eb="1">
      <t>ヨル</t>
    </rPh>
    <rPh sb="2" eb="3">
      <t>ハヤ</t>
    </rPh>
    <phoneticPr fontId="1"/>
  </si>
  <si>
    <t>夜勤明けの当日に他のシフトを入れない</t>
    <rPh sb="0" eb="3">
      <t>ヤキンア</t>
    </rPh>
    <rPh sb="5" eb="7">
      <t>トウジツ</t>
    </rPh>
    <rPh sb="8" eb="9">
      <t>ホカ</t>
    </rPh>
    <rPh sb="14" eb="15">
      <t>イ</t>
    </rPh>
    <phoneticPr fontId="1"/>
  </si>
  <si>
    <t>夜→日</t>
    <rPh sb="0" eb="1">
      <t>ヨル</t>
    </rPh>
    <rPh sb="2" eb="3">
      <t>ニチ</t>
    </rPh>
    <phoneticPr fontId="1"/>
  </si>
  <si>
    <t>夜勤の翌日は必ず「×（休み）」にする</t>
    <rPh sb="0" eb="2">
      <t>ヤキン</t>
    </rPh>
    <rPh sb="3" eb="5">
      <t>ヨクジツ</t>
    </rPh>
    <rPh sb="6" eb="7">
      <t>カナラ</t>
    </rPh>
    <rPh sb="11" eb="12">
      <t>ヤス</t>
    </rPh>
    <phoneticPr fontId="1"/>
  </si>
  <si>
    <t>期間（開始日）</t>
    <rPh sb="0" eb="2">
      <t>キカン</t>
    </rPh>
    <rPh sb="3" eb="6">
      <t>カイシビ</t>
    </rPh>
    <phoneticPr fontId="1"/>
  </si>
  <si>
    <t>期間（終了日）</t>
    <rPh sb="0" eb="2">
      <t>キカン</t>
    </rPh>
    <rPh sb="3" eb="6">
      <t>シュウリョウビ</t>
    </rPh>
    <phoneticPr fontId="1"/>
  </si>
  <si>
    <t>契約区分（週）</t>
    <rPh sb="0" eb="2">
      <t>ケイヤク</t>
    </rPh>
    <rPh sb="2" eb="4">
      <t>クブン</t>
    </rPh>
    <rPh sb="5" eb="6">
      <t>シュウ</t>
    </rPh>
    <phoneticPr fontId="1"/>
  </si>
  <si>
    <t>40h</t>
    <phoneticPr fontId="1"/>
  </si>
  <si>
    <t>32h</t>
    <phoneticPr fontId="1"/>
  </si>
  <si>
    <t>公休数（日数）</t>
    <rPh sb="0" eb="3">
      <t>コウキュウスウ</t>
    </rPh>
    <rPh sb="4" eb="6">
      <t>ニッスウ</t>
    </rPh>
    <phoneticPr fontId="1"/>
  </si>
  <si>
    <t>備考</t>
    <rPh sb="0" eb="2">
      <t>ビコウ</t>
    </rPh>
    <phoneticPr fontId="1"/>
  </si>
  <si>
    <t>この期間の合計休み数</t>
    <rPh sb="2" eb="4">
      <t>キカン</t>
    </rPh>
    <rPh sb="5" eb="7">
      <t>ゴウケイ</t>
    </rPh>
    <rPh sb="7" eb="8">
      <t>ヤス</t>
    </rPh>
    <rPh sb="9" eb="10">
      <t>スウ</t>
    </rPh>
    <phoneticPr fontId="1"/>
  </si>
  <si>
    <t>月末調整分の休み</t>
    <rPh sb="0" eb="5">
      <t>ゲツマツチョウセイブン</t>
    </rPh>
    <rPh sb="6" eb="7">
      <t>ヤス</t>
    </rPh>
    <phoneticPr fontId="1"/>
  </si>
  <si>
    <t>ルール項目</t>
    <rPh sb="3" eb="5">
      <t>コウモク</t>
    </rPh>
    <phoneticPr fontId="1"/>
  </si>
  <si>
    <t>OKパターン</t>
    <phoneticPr fontId="1"/>
  </si>
  <si>
    <t>出-出-出-出-出-×</t>
    <rPh sb="0" eb="1">
      <t>シュツ</t>
    </rPh>
    <rPh sb="2" eb="3">
      <t>シュツ</t>
    </rPh>
    <rPh sb="4" eb="5">
      <t>シュツ</t>
    </rPh>
    <rPh sb="6" eb="7">
      <t>シュツ</t>
    </rPh>
    <rPh sb="8" eb="9">
      <t>シュツ</t>
    </rPh>
    <phoneticPr fontId="1"/>
  </si>
  <si>
    <t>NGパターン（禁止）</t>
    <rPh sb="7" eb="9">
      <t>キンシ</t>
    </rPh>
    <phoneticPr fontId="1"/>
  </si>
  <si>
    <t>出-出-出-出-出-出（6連勤）</t>
    <rPh sb="0" eb="1">
      <t>シュツ</t>
    </rPh>
    <rPh sb="2" eb="3">
      <t>シュツ</t>
    </rPh>
    <rPh sb="4" eb="5">
      <t>シュツ</t>
    </rPh>
    <rPh sb="6" eb="7">
      <t>シュツ</t>
    </rPh>
    <rPh sb="8" eb="9">
      <t>シュツ</t>
    </rPh>
    <rPh sb="10" eb="11">
      <t>シュツ</t>
    </rPh>
    <rPh sb="13" eb="15">
      <t>レンキン</t>
    </rPh>
    <phoneticPr fontId="1"/>
  </si>
  <si>
    <t>希望休、指定勤務</t>
    <rPh sb="0" eb="3">
      <t>キボウキュウ</t>
    </rPh>
    <rPh sb="4" eb="6">
      <t>シテイ</t>
    </rPh>
    <rPh sb="6" eb="8">
      <t>キンム</t>
    </rPh>
    <phoneticPr fontId="1"/>
  </si>
  <si>
    <t>前月の勤務</t>
    <rPh sb="0" eb="2">
      <t>ゼンゲツ</t>
    </rPh>
    <rPh sb="3" eb="5">
      <t>キンム</t>
    </rPh>
    <phoneticPr fontId="1"/>
  </si>
  <si>
    <t>連勤上限</t>
    <rPh sb="0" eb="4">
      <t>レンキンジョウゲン</t>
    </rPh>
    <phoneticPr fontId="1"/>
  </si>
  <si>
    <t>5日間</t>
    <rPh sb="1" eb="2">
      <t>ニチ</t>
    </rPh>
    <rPh sb="2" eb="3">
      <t>カン</t>
    </rPh>
    <phoneticPr fontId="1"/>
  </si>
  <si>
    <t>4日間</t>
    <rPh sb="1" eb="3">
      <t>ニチカン</t>
    </rPh>
    <phoneticPr fontId="1"/>
  </si>
  <si>
    <t>40h</t>
    <phoneticPr fontId="1"/>
  </si>
  <si>
    <t>32h</t>
    <phoneticPr fontId="1"/>
  </si>
  <si>
    <t>出-出-出-出-×</t>
    <rPh sb="0" eb="1">
      <t>シュツ</t>
    </rPh>
    <rPh sb="2" eb="3">
      <t>シュツ</t>
    </rPh>
    <rPh sb="4" eb="5">
      <t>シュツ</t>
    </rPh>
    <rPh sb="6" eb="7">
      <t>シュツ</t>
    </rPh>
    <phoneticPr fontId="1"/>
  </si>
  <si>
    <t>出-出-出-出-出（5連勤）</t>
    <rPh sb="0" eb="1">
      <t>シュツ</t>
    </rPh>
    <rPh sb="2" eb="3">
      <t>シュツ</t>
    </rPh>
    <rPh sb="4" eb="5">
      <t>シュツ</t>
    </rPh>
    <rPh sb="6" eb="7">
      <t>シュツ</t>
    </rPh>
    <rPh sb="8" eb="9">
      <t>シュツ</t>
    </rPh>
    <rPh sb="11" eb="13">
      <t>レンキン</t>
    </rPh>
    <phoneticPr fontId="1"/>
  </si>
  <si>
    <t>パート</t>
    <phoneticPr fontId="1"/>
  </si>
  <si>
    <t>どうしても遅→早を入れなければならない状況になったら、代わりに『日勤』または『休み』を増やして調整し、遅→早だけは絶対に回避せよ</t>
  </si>
  <si>
    <t>夜勤最少数</t>
    <rPh sb="0" eb="2">
      <t>ヤキン</t>
    </rPh>
    <rPh sb="2" eb="4">
      <t>サイショウ</t>
    </rPh>
    <rPh sb="4" eb="5">
      <t>スウ</t>
    </rPh>
    <phoneticPr fontId="1"/>
  </si>
  <si>
    <t>夜勤最高数</t>
    <rPh sb="0" eb="2">
      <t>ヤキン</t>
    </rPh>
    <rPh sb="2" eb="4">
      <t>サイコウ</t>
    </rPh>
    <rPh sb="4" eb="5">
      <t>スウ</t>
    </rPh>
    <phoneticPr fontId="1"/>
  </si>
  <si>
    <t>ユニット名</t>
    <rPh sb="4" eb="5">
      <t>メイ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</si>
  <si>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</si>
  <si>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</si>
  <si>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A早出</t>
    <rPh sb="1" eb="3">
      <t>ハヤデ</t>
    </rPh>
    <phoneticPr fontId="1"/>
  </si>
  <si>
    <t>B早出</t>
    <rPh sb="1" eb="3">
      <t>ハヤデ</t>
    </rPh>
    <phoneticPr fontId="1"/>
  </si>
  <si>
    <t>A遅出</t>
    <rPh sb="1" eb="3">
      <t>オソデ</t>
    </rPh>
    <phoneticPr fontId="1"/>
  </si>
  <si>
    <t>B遅出</t>
    <rPh sb="1" eb="3">
      <t>オソデ</t>
    </rPh>
    <phoneticPr fontId="1"/>
  </si>
  <si>
    <t>A・B</t>
  </si>
  <si>
    <t>有給</t>
  </si>
</sst>
</file>

<file path=xl/styles.xml><?xml version="1.0" encoding="utf-8"?>
<styleSheet xmlns="http://schemas.openxmlformats.org/spreadsheetml/2006/main">
  <numFmts count="5">
    <numFmt numFmtId="176" formatCode="yyyy&quot;年&quot;m&quot;月&quot;;@"/>
    <numFmt numFmtId="177" formatCode="d"/>
    <numFmt numFmtId="178" formatCode="m&quot;月&quot;"/>
    <numFmt numFmtId="179" formatCode="d&quot;日&quot;"/>
    <numFmt numFmtId="180" formatCode="0_ "/>
  </numFmts>
  <fonts count="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9" xfId="0" applyNumberForma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30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>
      <alignment vertical="center"/>
    </xf>
    <xf numFmtId="180" fontId="0" fillId="0" borderId="19" xfId="0" applyNumberFormat="1" applyBorder="1" applyAlignment="1">
      <alignment horizontal="center" vertical="center"/>
    </xf>
    <xf numFmtId="180" fontId="0" fillId="0" borderId="20" xfId="0" applyNumberFormat="1" applyBorder="1" applyAlignment="1">
      <alignment horizontal="center" vertical="center"/>
    </xf>
    <xf numFmtId="180" fontId="0" fillId="0" borderId="21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3" fillId="0" borderId="3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80" fontId="5" fillId="0" borderId="19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zoomScale="120" zoomScaleNormal="120" workbookViewId="0">
      <selection activeCell="D4" sqref="D4"/>
    </sheetView>
  </sheetViews>
  <sheetFormatPr defaultRowHeight="13.5"/>
  <cols>
    <col min="1" max="1" width="9" style="3"/>
    <col min="2" max="4" width="10.875" style="3" customWidth="1"/>
    <col min="5" max="5" width="10.875" customWidth="1"/>
    <col min="6" max="7" width="10.875" style="3" customWidth="1"/>
    <col min="8" max="8" width="33.625" customWidth="1"/>
  </cols>
  <sheetData>
    <row r="1" spans="1:8" s="3" customFormat="1" ht="18.95" customHeight="1" thickBot="1">
      <c r="A1" s="14" t="s">
        <v>0</v>
      </c>
      <c r="B1" s="10" t="s">
        <v>1</v>
      </c>
      <c r="C1" s="10" t="s">
        <v>26</v>
      </c>
      <c r="D1" s="8" t="s">
        <v>2</v>
      </c>
      <c r="E1" s="8" t="s">
        <v>3</v>
      </c>
      <c r="F1" s="25" t="s">
        <v>98</v>
      </c>
      <c r="G1" s="25" t="s">
        <v>99</v>
      </c>
      <c r="H1" s="9" t="s">
        <v>4</v>
      </c>
    </row>
    <row r="2" spans="1:8" ht="18.95" customHeight="1">
      <c r="A2" s="15" t="s">
        <v>5</v>
      </c>
      <c r="B2" s="11" t="s">
        <v>11</v>
      </c>
      <c r="C2" s="11" t="s">
        <v>27</v>
      </c>
      <c r="D2" s="7" t="s">
        <v>13</v>
      </c>
      <c r="E2" s="4"/>
      <c r="F2" s="52">
        <v>4</v>
      </c>
      <c r="G2" s="52">
        <v>6</v>
      </c>
      <c r="H2" s="21"/>
    </row>
    <row r="3" spans="1:8" ht="18.95" customHeight="1">
      <c r="A3" s="16" t="s">
        <v>6</v>
      </c>
      <c r="B3" s="12" t="s">
        <v>11</v>
      </c>
      <c r="C3" s="11" t="s">
        <v>29</v>
      </c>
      <c r="D3" s="7" t="s">
        <v>13</v>
      </c>
      <c r="E3" s="1"/>
      <c r="F3" s="53">
        <v>4</v>
      </c>
      <c r="G3" s="53">
        <v>6</v>
      </c>
      <c r="H3" s="18"/>
    </row>
    <row r="4" spans="1:8" ht="18.95" customHeight="1">
      <c r="A4" s="16" t="s">
        <v>7</v>
      </c>
      <c r="B4" s="12" t="s">
        <v>11</v>
      </c>
      <c r="C4" s="11" t="s">
        <v>29</v>
      </c>
      <c r="D4" s="7" t="s">
        <v>107</v>
      </c>
      <c r="E4" s="1"/>
      <c r="F4" s="53">
        <v>4</v>
      </c>
      <c r="G4" s="53">
        <v>5</v>
      </c>
      <c r="H4" s="18"/>
    </row>
    <row r="5" spans="1:8" ht="18.95" customHeight="1">
      <c r="A5" s="16" t="s">
        <v>30</v>
      </c>
      <c r="B5" s="12" t="s">
        <v>33</v>
      </c>
      <c r="C5" s="11" t="s">
        <v>29</v>
      </c>
      <c r="D5" s="7" t="s">
        <v>13</v>
      </c>
      <c r="E5" s="1"/>
      <c r="F5" s="53">
        <v>3</v>
      </c>
      <c r="G5" s="53">
        <v>4</v>
      </c>
      <c r="H5" s="18"/>
    </row>
    <row r="6" spans="1:8" ht="18.95" customHeight="1">
      <c r="A6" s="16" t="s">
        <v>8</v>
      </c>
      <c r="B6" s="12" t="s">
        <v>12</v>
      </c>
      <c r="C6" s="11" t="s">
        <v>29</v>
      </c>
      <c r="D6" s="7" t="s">
        <v>13</v>
      </c>
      <c r="E6" s="1"/>
      <c r="F6" s="53">
        <v>0</v>
      </c>
      <c r="G6" s="53">
        <v>0</v>
      </c>
      <c r="H6" s="18" t="s">
        <v>34</v>
      </c>
    </row>
    <row r="7" spans="1:8" ht="18.95" customHeight="1">
      <c r="A7" s="16" t="s">
        <v>9</v>
      </c>
      <c r="B7" s="12" t="s">
        <v>11</v>
      </c>
      <c r="C7" s="11" t="s">
        <v>28</v>
      </c>
      <c r="D7" s="7" t="s">
        <v>14</v>
      </c>
      <c r="E7" s="1"/>
      <c r="F7" s="53">
        <v>4</v>
      </c>
      <c r="G7" s="53">
        <v>6</v>
      </c>
      <c r="H7" s="18"/>
    </row>
    <row r="8" spans="1:8" ht="18.95" customHeight="1">
      <c r="A8" s="16" t="s">
        <v>31</v>
      </c>
      <c r="B8" s="12" t="s">
        <v>11</v>
      </c>
      <c r="C8" s="11" t="s">
        <v>29</v>
      </c>
      <c r="D8" s="7" t="s">
        <v>14</v>
      </c>
      <c r="E8" s="1"/>
      <c r="F8" s="53">
        <v>4</v>
      </c>
      <c r="G8" s="53">
        <v>6</v>
      </c>
      <c r="H8" s="18"/>
    </row>
    <row r="9" spans="1:8" ht="18.95" customHeight="1">
      <c r="A9" s="16" t="s">
        <v>32</v>
      </c>
      <c r="B9" s="12" t="s">
        <v>11</v>
      </c>
      <c r="C9" s="11" t="s">
        <v>29</v>
      </c>
      <c r="D9" s="7" t="s">
        <v>14</v>
      </c>
      <c r="E9" s="1"/>
      <c r="F9" s="53">
        <v>4</v>
      </c>
      <c r="G9" s="53">
        <v>6</v>
      </c>
      <c r="H9" s="18"/>
    </row>
    <row r="10" spans="1:8" ht="18.95" customHeight="1">
      <c r="A10" s="16" t="s">
        <v>10</v>
      </c>
      <c r="B10" s="12" t="s">
        <v>11</v>
      </c>
      <c r="C10" s="11" t="s">
        <v>29</v>
      </c>
      <c r="D10" s="7" t="s">
        <v>14</v>
      </c>
      <c r="E10" s="1"/>
      <c r="F10" s="53">
        <v>3</v>
      </c>
      <c r="G10" s="53">
        <v>4</v>
      </c>
      <c r="H10" s="18"/>
    </row>
    <row r="11" spans="1:8" ht="18.95" customHeight="1">
      <c r="A11" s="16"/>
      <c r="B11" s="12"/>
      <c r="C11" s="11"/>
      <c r="D11" s="2"/>
      <c r="E11" s="1"/>
      <c r="F11" s="53"/>
      <c r="G11" s="53"/>
      <c r="H11" s="18"/>
    </row>
    <row r="12" spans="1:8" ht="18.95" customHeight="1">
      <c r="A12" s="16"/>
      <c r="B12" s="12"/>
      <c r="C12" s="11"/>
      <c r="D12" s="2"/>
      <c r="E12" s="1"/>
      <c r="F12" s="53"/>
      <c r="G12" s="53"/>
      <c r="H12" s="18"/>
    </row>
    <row r="13" spans="1:8" ht="18.95" customHeight="1" thickBot="1">
      <c r="A13" s="17"/>
      <c r="B13" s="13"/>
      <c r="C13" s="6"/>
      <c r="D13" s="6"/>
      <c r="E13" s="19"/>
      <c r="F13" s="54"/>
      <c r="G13" s="54"/>
      <c r="H13" s="20"/>
    </row>
  </sheetData>
  <phoneticPr fontId="1"/>
  <dataValidations count="3">
    <dataValidation type="list" allowBlank="1" showInputMessage="1" showErrorMessage="1" sqref="B2:B10">
      <formula1>"40h,32h,パート"</formula1>
    </dataValidation>
    <dataValidation type="list" allowBlank="1" showInputMessage="1" showErrorMessage="1" sqref="D2:D10">
      <formula1>"A,B,A・B"</formula1>
    </dataValidation>
    <dataValidation type="list" allowBlank="1" showInputMessage="1" showErrorMessage="1" sqref="C2:C13">
      <formula1>"リーダー,総合,一般"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zoomScale="120" zoomScaleNormal="120" workbookViewId="0">
      <selection activeCell="D9" sqref="D9"/>
    </sheetView>
  </sheetViews>
  <sheetFormatPr defaultRowHeight="13.5"/>
  <cols>
    <col min="1" max="1" width="13.5" style="3" customWidth="1"/>
    <col min="2" max="2" width="25.375" style="3" customWidth="1"/>
    <col min="3" max="5" width="25.375" customWidth="1"/>
    <col min="6" max="6" width="12.625" customWidth="1"/>
    <col min="7" max="7" width="18.375" customWidth="1"/>
    <col min="8" max="8" width="18.25" customWidth="1"/>
    <col min="9" max="9" width="15.75" customWidth="1"/>
    <col min="10" max="10" width="18.625" customWidth="1"/>
    <col min="11" max="36" width="4" customWidth="1"/>
  </cols>
  <sheetData>
    <row r="1" spans="1:5" s="22" customFormat="1" ht="18.95" customHeight="1" thickBot="1">
      <c r="A1" s="24" t="s">
        <v>16</v>
      </c>
      <c r="B1" s="10" t="s">
        <v>17</v>
      </c>
      <c r="C1" s="9" t="s">
        <v>4</v>
      </c>
    </row>
    <row r="2" spans="1:5" ht="18.95" customHeight="1">
      <c r="A2" s="36" t="s">
        <v>18</v>
      </c>
      <c r="B2" s="65">
        <v>46082</v>
      </c>
      <c r="C2" s="21"/>
    </row>
    <row r="3" spans="1:5" ht="18.95" customHeight="1" thickBot="1">
      <c r="A3" s="28"/>
      <c r="B3" s="28"/>
      <c r="C3" s="5"/>
    </row>
    <row r="4" spans="1:5" ht="18.95" customHeight="1">
      <c r="A4" s="36" t="s">
        <v>73</v>
      </c>
      <c r="B4" s="46" t="s">
        <v>74</v>
      </c>
      <c r="C4" s="47" t="s">
        <v>75</v>
      </c>
      <c r="D4" s="49" t="s">
        <v>78</v>
      </c>
      <c r="E4" s="50" t="s">
        <v>79</v>
      </c>
    </row>
    <row r="5" spans="1:5" ht="18.95" customHeight="1">
      <c r="A5" s="62">
        <f>B2</f>
        <v>46082</v>
      </c>
      <c r="B5" s="66">
        <v>46109</v>
      </c>
      <c r="C5" s="48" t="s">
        <v>76</v>
      </c>
      <c r="D5" s="67">
        <v>8</v>
      </c>
      <c r="E5" s="50" t="s">
        <v>80</v>
      </c>
    </row>
    <row r="6" spans="1:5" ht="18.95" customHeight="1">
      <c r="A6" s="62">
        <f>B2</f>
        <v>46082</v>
      </c>
      <c r="B6" s="63">
        <f>B5</f>
        <v>46109</v>
      </c>
      <c r="C6" s="48" t="s">
        <v>77</v>
      </c>
      <c r="D6" s="67">
        <v>12</v>
      </c>
      <c r="E6" s="50" t="s">
        <v>80</v>
      </c>
    </row>
    <row r="7" spans="1:5" ht="18.95" customHeight="1">
      <c r="A7" s="62">
        <f>B5+1</f>
        <v>46110</v>
      </c>
      <c r="B7" s="64">
        <f>EOMONTH(B2,0)</f>
        <v>46112</v>
      </c>
      <c r="C7" s="48" t="s">
        <v>76</v>
      </c>
      <c r="D7" s="67">
        <v>1</v>
      </c>
      <c r="E7" s="50" t="s">
        <v>81</v>
      </c>
    </row>
    <row r="8" spans="1:5" ht="18.95" customHeight="1">
      <c r="A8" s="62">
        <f>A7</f>
        <v>46110</v>
      </c>
      <c r="B8" s="64">
        <f>B7</f>
        <v>46112</v>
      </c>
      <c r="C8" s="48" t="s">
        <v>77</v>
      </c>
      <c r="D8" s="67">
        <v>1</v>
      </c>
      <c r="E8" s="50" t="s">
        <v>81</v>
      </c>
    </row>
    <row r="9" spans="1:5" ht="18.95" customHeight="1" thickBot="1">
      <c r="B9"/>
    </row>
    <row r="10" spans="1:5" ht="18.95" customHeight="1" thickBot="1">
      <c r="A10" s="14" t="s">
        <v>37</v>
      </c>
      <c r="B10" s="10" t="s">
        <v>43</v>
      </c>
      <c r="C10" s="8" t="s">
        <v>54</v>
      </c>
      <c r="D10" s="8" t="s">
        <v>59</v>
      </c>
      <c r="E10" s="9" t="s">
        <v>36</v>
      </c>
    </row>
    <row r="11" spans="1:5" ht="18.95" customHeight="1">
      <c r="A11" s="15" t="s">
        <v>38</v>
      </c>
      <c r="B11" s="11" t="s">
        <v>45</v>
      </c>
      <c r="C11" s="7" t="s">
        <v>55</v>
      </c>
      <c r="D11" s="7" t="s">
        <v>60</v>
      </c>
      <c r="E11" s="39" t="s">
        <v>35</v>
      </c>
    </row>
    <row r="12" spans="1:5" ht="18.95" customHeight="1">
      <c r="A12" s="16" t="s">
        <v>39</v>
      </c>
      <c r="B12" s="12" t="s">
        <v>47</v>
      </c>
      <c r="C12" s="2" t="s">
        <v>56</v>
      </c>
      <c r="D12" s="2" t="s">
        <v>61</v>
      </c>
      <c r="E12" s="40" t="s">
        <v>35</v>
      </c>
    </row>
    <row r="13" spans="1:5" ht="18.95" customHeight="1">
      <c r="A13" s="16" t="s">
        <v>40</v>
      </c>
      <c r="B13" s="12" t="s">
        <v>49</v>
      </c>
      <c r="C13" s="2" t="s">
        <v>57</v>
      </c>
      <c r="D13" s="2" t="s">
        <v>62</v>
      </c>
      <c r="E13" s="40"/>
    </row>
    <row r="14" spans="1:5" ht="18.95" customHeight="1">
      <c r="A14" s="16" t="s">
        <v>41</v>
      </c>
      <c r="B14" s="12" t="s">
        <v>51</v>
      </c>
      <c r="C14" s="2" t="s">
        <v>58</v>
      </c>
      <c r="D14" s="2" t="s">
        <v>63</v>
      </c>
      <c r="E14" s="40" t="s">
        <v>35</v>
      </c>
    </row>
    <row r="15" spans="1:5" ht="18.95" customHeight="1" thickBot="1">
      <c r="A15" s="17" t="s">
        <v>42</v>
      </c>
      <c r="B15" s="13" t="s">
        <v>53</v>
      </c>
      <c r="C15" s="6"/>
      <c r="D15" s="6" t="s">
        <v>64</v>
      </c>
      <c r="E15" s="41" t="s">
        <v>35</v>
      </c>
    </row>
    <row r="16" spans="1:5" ht="18.95" customHeight="1">
      <c r="A16" s="28"/>
      <c r="B16" s="28"/>
      <c r="C16" s="28"/>
      <c r="D16" s="28"/>
      <c r="E16" s="28"/>
    </row>
    <row r="17" spans="1:5" ht="18.95" customHeight="1">
      <c r="A17" s="2" t="s">
        <v>65</v>
      </c>
      <c r="B17" s="2"/>
      <c r="C17" s="28"/>
      <c r="D17" s="28"/>
      <c r="E17" s="28"/>
    </row>
    <row r="18" spans="1:5" ht="18.95" customHeight="1">
      <c r="A18" s="2" t="s">
        <v>66</v>
      </c>
      <c r="B18" s="2"/>
      <c r="C18" s="28"/>
      <c r="D18" s="28"/>
      <c r="E18" s="28"/>
    </row>
    <row r="19" spans="1:5" ht="18.95" customHeight="1">
      <c r="A19" s="2" t="s">
        <v>67</v>
      </c>
      <c r="B19" s="2" t="s">
        <v>68</v>
      </c>
      <c r="C19" s="28"/>
      <c r="D19" s="28"/>
      <c r="E19" s="28"/>
    </row>
    <row r="20" spans="1:5" ht="18.95" customHeight="1">
      <c r="A20" s="2" t="s">
        <v>69</v>
      </c>
      <c r="B20" s="2" t="s">
        <v>70</v>
      </c>
      <c r="C20" s="28"/>
      <c r="D20" s="28"/>
      <c r="E20" s="28"/>
    </row>
    <row r="21" spans="1:5" ht="18.95" customHeight="1">
      <c r="A21" s="2" t="s">
        <v>71</v>
      </c>
      <c r="B21" s="2" t="s">
        <v>72</v>
      </c>
      <c r="C21" s="28"/>
      <c r="D21" s="28"/>
      <c r="E21" s="28"/>
    </row>
    <row r="22" spans="1:5" ht="18.95" customHeight="1">
      <c r="A22" s="28"/>
      <c r="B22" s="28"/>
      <c r="C22" s="28"/>
      <c r="D22" s="28"/>
      <c r="E22" s="28"/>
    </row>
    <row r="23" spans="1:5" ht="18.95" customHeight="1">
      <c r="A23" t="s">
        <v>97</v>
      </c>
      <c r="B23" s="28"/>
      <c r="C23" s="28"/>
      <c r="D23" s="28"/>
      <c r="E23" s="28"/>
    </row>
    <row r="24" spans="1:5" ht="18.95" customHeight="1" thickBot="1">
      <c r="B24"/>
    </row>
    <row r="25" spans="1:5" ht="18.95" customHeight="1" thickBot="1">
      <c r="A25" s="14" t="s">
        <v>82</v>
      </c>
      <c r="B25" s="14" t="s">
        <v>89</v>
      </c>
      <c r="C25" s="51" t="s">
        <v>83</v>
      </c>
      <c r="D25" s="51" t="s">
        <v>85</v>
      </c>
    </row>
    <row r="26" spans="1:5" ht="18.95" customHeight="1" thickBot="1">
      <c r="A26" s="14" t="s">
        <v>92</v>
      </c>
      <c r="B26" s="14" t="s">
        <v>90</v>
      </c>
      <c r="C26" s="51" t="s">
        <v>84</v>
      </c>
      <c r="D26" s="51" t="s">
        <v>86</v>
      </c>
    </row>
    <row r="27" spans="1:5" ht="18.95" customHeight="1" thickBot="1">
      <c r="A27" s="14" t="s">
        <v>93</v>
      </c>
      <c r="B27" s="14" t="s">
        <v>91</v>
      </c>
      <c r="C27" s="51" t="s">
        <v>94</v>
      </c>
      <c r="D27" s="51" t="s">
        <v>95</v>
      </c>
    </row>
    <row r="28" spans="1:5" ht="18.95" customHeight="1" thickBot="1">
      <c r="A28" s="14" t="s">
        <v>96</v>
      </c>
      <c r="B28" s="14" t="s">
        <v>91</v>
      </c>
      <c r="C28" s="51" t="s">
        <v>94</v>
      </c>
      <c r="D28" s="51" t="s">
        <v>95</v>
      </c>
    </row>
    <row r="29" spans="1:5" ht="18.95" customHeight="1" thickBot="1">
      <c r="B29"/>
    </row>
    <row r="30" spans="1:5" ht="18.95" customHeight="1" thickBot="1">
      <c r="A30" s="14" t="s">
        <v>22</v>
      </c>
      <c r="B30" s="10" t="s">
        <v>23</v>
      </c>
      <c r="C30" s="9" t="s">
        <v>24</v>
      </c>
    </row>
    <row r="31" spans="1:5" ht="18.95" customHeight="1">
      <c r="A31" s="15" t="s">
        <v>19</v>
      </c>
      <c r="B31" s="11">
        <v>1</v>
      </c>
      <c r="C31" s="21">
        <v>1</v>
      </c>
    </row>
    <row r="32" spans="1:5" ht="18.95" customHeight="1">
      <c r="A32" s="16" t="s">
        <v>20</v>
      </c>
      <c r="B32" s="12">
        <v>1</v>
      </c>
      <c r="C32" s="18">
        <v>1</v>
      </c>
    </row>
    <row r="33" spans="1:3" ht="14.25" thickBot="1">
      <c r="A33" s="17" t="s">
        <v>21</v>
      </c>
      <c r="B33" s="68" t="s">
        <v>25</v>
      </c>
      <c r="C33" s="69"/>
    </row>
  </sheetData>
  <mergeCells count="1">
    <mergeCell ref="B33:C33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tabSelected="1" zoomScale="120" zoomScaleNormal="120" workbookViewId="0">
      <selection activeCell="Q20" sqref="Q20"/>
    </sheetView>
  </sheetViews>
  <sheetFormatPr defaultRowHeight="13.5"/>
  <cols>
    <col min="1" max="1" width="9" style="3"/>
    <col min="2" max="32" width="5.25" style="3" customWidth="1"/>
  </cols>
  <sheetData>
    <row r="1" spans="1:34" ht="18.95" customHeight="1" thickBot="1">
      <c r="A1" s="26">
        <f>Settings!B2</f>
        <v>46082</v>
      </c>
      <c r="B1" s="3" t="s">
        <v>87</v>
      </c>
    </row>
    <row r="2" spans="1:34" ht="18.95" customHeight="1">
      <c r="A2" s="70" t="s">
        <v>15</v>
      </c>
      <c r="B2" s="29">
        <f>Settings!B2</f>
        <v>46082</v>
      </c>
      <c r="C2" s="30">
        <f>B2+1</f>
        <v>46083</v>
      </c>
      <c r="D2" s="30">
        <f t="shared" ref="D2:AF2" si="0">C2+1</f>
        <v>46084</v>
      </c>
      <c r="E2" s="30">
        <f t="shared" si="0"/>
        <v>46085</v>
      </c>
      <c r="F2" s="30">
        <f t="shared" si="0"/>
        <v>46086</v>
      </c>
      <c r="G2" s="30">
        <f t="shared" si="0"/>
        <v>46087</v>
      </c>
      <c r="H2" s="30">
        <f t="shared" si="0"/>
        <v>46088</v>
      </c>
      <c r="I2" s="30">
        <f t="shared" si="0"/>
        <v>46089</v>
      </c>
      <c r="J2" s="30">
        <f t="shared" si="0"/>
        <v>46090</v>
      </c>
      <c r="K2" s="30">
        <f t="shared" si="0"/>
        <v>46091</v>
      </c>
      <c r="L2" s="30">
        <f t="shared" si="0"/>
        <v>46092</v>
      </c>
      <c r="M2" s="30">
        <f t="shared" si="0"/>
        <v>46093</v>
      </c>
      <c r="N2" s="30">
        <f t="shared" si="0"/>
        <v>46094</v>
      </c>
      <c r="O2" s="30">
        <f t="shared" si="0"/>
        <v>46095</v>
      </c>
      <c r="P2" s="30">
        <f t="shared" si="0"/>
        <v>46096</v>
      </c>
      <c r="Q2" s="30">
        <f t="shared" si="0"/>
        <v>46097</v>
      </c>
      <c r="R2" s="30">
        <f t="shared" si="0"/>
        <v>46098</v>
      </c>
      <c r="S2" s="30">
        <f t="shared" si="0"/>
        <v>46099</v>
      </c>
      <c r="T2" s="30">
        <f t="shared" si="0"/>
        <v>46100</v>
      </c>
      <c r="U2" s="30">
        <f t="shared" si="0"/>
        <v>46101</v>
      </c>
      <c r="V2" s="30">
        <f t="shared" si="0"/>
        <v>46102</v>
      </c>
      <c r="W2" s="30">
        <f t="shared" si="0"/>
        <v>46103</v>
      </c>
      <c r="X2" s="30">
        <f t="shared" si="0"/>
        <v>46104</v>
      </c>
      <c r="Y2" s="30">
        <f t="shared" si="0"/>
        <v>46105</v>
      </c>
      <c r="Z2" s="30">
        <f t="shared" si="0"/>
        <v>46106</v>
      </c>
      <c r="AA2" s="30">
        <f t="shared" si="0"/>
        <v>46107</v>
      </c>
      <c r="AB2" s="30">
        <f t="shared" si="0"/>
        <v>46108</v>
      </c>
      <c r="AC2" s="30">
        <f t="shared" si="0"/>
        <v>46109</v>
      </c>
      <c r="AD2" s="30">
        <f t="shared" si="0"/>
        <v>46110</v>
      </c>
      <c r="AE2" s="30">
        <f t="shared" si="0"/>
        <v>46111</v>
      </c>
      <c r="AF2" s="42">
        <f t="shared" si="0"/>
        <v>46112</v>
      </c>
      <c r="AG2" s="5"/>
    </row>
    <row r="3" spans="1:34" ht="18.95" customHeight="1" thickBot="1">
      <c r="A3" s="71"/>
      <c r="B3" s="32" t="str">
        <f>TEXT(B2,"aaa")</f>
        <v>日</v>
      </c>
      <c r="C3" s="34" t="str">
        <f t="shared" ref="C3:AF3" si="1">TEXT(C2,"aaa")</f>
        <v>月</v>
      </c>
      <c r="D3" s="31" t="str">
        <f t="shared" si="1"/>
        <v>火</v>
      </c>
      <c r="E3" s="35" t="str">
        <f t="shared" si="1"/>
        <v>水</v>
      </c>
      <c r="F3" s="31" t="str">
        <f t="shared" si="1"/>
        <v>木</v>
      </c>
      <c r="G3" s="35" t="str">
        <f t="shared" si="1"/>
        <v>金</v>
      </c>
      <c r="H3" s="34" t="str">
        <f t="shared" si="1"/>
        <v>土</v>
      </c>
      <c r="I3" s="34" t="str">
        <f t="shared" si="1"/>
        <v>日</v>
      </c>
      <c r="J3" s="34" t="str">
        <f t="shared" si="1"/>
        <v>月</v>
      </c>
      <c r="K3" s="31" t="str">
        <f t="shared" si="1"/>
        <v>火</v>
      </c>
      <c r="L3" s="35" t="str">
        <f t="shared" si="1"/>
        <v>水</v>
      </c>
      <c r="M3" s="34" t="str">
        <f t="shared" si="1"/>
        <v>木</v>
      </c>
      <c r="N3" s="31" t="str">
        <f t="shared" si="1"/>
        <v>金</v>
      </c>
      <c r="O3" s="35" t="str">
        <f t="shared" si="1"/>
        <v>土</v>
      </c>
      <c r="P3" s="31" t="str">
        <f t="shared" si="1"/>
        <v>日</v>
      </c>
      <c r="Q3" s="35" t="str">
        <f t="shared" si="1"/>
        <v>月</v>
      </c>
      <c r="R3" s="34" t="str">
        <f t="shared" si="1"/>
        <v>火</v>
      </c>
      <c r="S3" s="34" t="str">
        <f t="shared" si="1"/>
        <v>水</v>
      </c>
      <c r="T3" s="34" t="str">
        <f t="shared" si="1"/>
        <v>木</v>
      </c>
      <c r="U3" s="31" t="str">
        <f t="shared" si="1"/>
        <v>金</v>
      </c>
      <c r="V3" s="35" t="str">
        <f t="shared" si="1"/>
        <v>土</v>
      </c>
      <c r="W3" s="34" t="str">
        <f t="shared" si="1"/>
        <v>日</v>
      </c>
      <c r="X3" s="34" t="str">
        <f t="shared" si="1"/>
        <v>月</v>
      </c>
      <c r="Y3" s="31" t="str">
        <f t="shared" si="1"/>
        <v>火</v>
      </c>
      <c r="Z3" s="35" t="str">
        <f t="shared" si="1"/>
        <v>水</v>
      </c>
      <c r="AA3" s="34" t="str">
        <f t="shared" si="1"/>
        <v>木</v>
      </c>
      <c r="AB3" s="34" t="str">
        <f t="shared" si="1"/>
        <v>金</v>
      </c>
      <c r="AC3" s="31" t="str">
        <f t="shared" si="1"/>
        <v>土</v>
      </c>
      <c r="AD3" s="31" t="str">
        <f t="shared" si="1"/>
        <v>日</v>
      </c>
      <c r="AE3" s="35" t="str">
        <f t="shared" si="1"/>
        <v>月</v>
      </c>
      <c r="AF3" s="33" t="str">
        <f t="shared" si="1"/>
        <v>火</v>
      </c>
      <c r="AG3" s="5"/>
    </row>
    <row r="4" spans="1:34" ht="18.95" customHeight="1">
      <c r="A4" s="15" t="str">
        <f>(Staff_Master!A2)</f>
        <v>内野</v>
      </c>
      <c r="B4" s="36"/>
      <c r="C4" s="55"/>
      <c r="D4" s="55"/>
      <c r="E4" s="55"/>
      <c r="F4" s="55"/>
      <c r="G4" s="55"/>
      <c r="H4" s="55"/>
      <c r="I4" s="55"/>
      <c r="J4" s="55"/>
      <c r="K4" s="55"/>
      <c r="L4" s="55"/>
      <c r="M4" s="55" t="s">
        <v>44</v>
      </c>
      <c r="N4" s="55"/>
      <c r="O4" s="55"/>
      <c r="P4" s="55"/>
      <c r="Q4" s="55"/>
      <c r="R4" s="55" t="s">
        <v>44</v>
      </c>
      <c r="S4" s="55"/>
      <c r="T4" s="55" t="s">
        <v>46</v>
      </c>
      <c r="U4" s="55" t="s">
        <v>52</v>
      </c>
      <c r="V4" s="55"/>
      <c r="W4" s="55"/>
      <c r="X4" s="55"/>
      <c r="Y4" s="55" t="s">
        <v>52</v>
      </c>
      <c r="Z4" s="55"/>
      <c r="AA4" s="55"/>
      <c r="AB4" s="55"/>
      <c r="AC4" s="55"/>
      <c r="AD4" s="55"/>
      <c r="AE4" s="55"/>
      <c r="AF4" s="39"/>
      <c r="AG4" s="5"/>
    </row>
    <row r="5" spans="1:34" ht="18.95" customHeight="1">
      <c r="A5" s="16" t="str">
        <f>(Staff_Master!A3)</f>
        <v>千本</v>
      </c>
      <c r="B5" s="4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4"/>
      <c r="AG5" s="5"/>
    </row>
    <row r="6" spans="1:34" ht="18.95" customHeight="1">
      <c r="A6" s="16" t="str">
        <f>(Staff_Master!A4)</f>
        <v>佐々木</v>
      </c>
      <c r="B6" s="43"/>
      <c r="C6" s="7"/>
      <c r="D6" s="7" t="s">
        <v>52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 t="s">
        <v>52</v>
      </c>
      <c r="AD6" s="7"/>
      <c r="AE6" s="7"/>
      <c r="AF6" s="44"/>
      <c r="AG6" s="5"/>
    </row>
    <row r="7" spans="1:34" ht="18.95" customHeight="1">
      <c r="A7" s="16" t="str">
        <f>(Staff_Master!A5)</f>
        <v>近藤</v>
      </c>
      <c r="B7" s="4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 t="s">
        <v>52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44"/>
      <c r="AG7" s="5"/>
      <c r="AH7" s="5"/>
    </row>
    <row r="8" spans="1:34" ht="18.95" customHeight="1" thickBot="1">
      <c r="A8" s="17" t="str">
        <f>(Staff_Master!A6)</f>
        <v>長谷川</v>
      </c>
      <c r="B8" s="3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1"/>
      <c r="AG8" s="5"/>
    </row>
    <row r="9" spans="1:34" ht="18.95" customHeight="1">
      <c r="A9" s="15" t="str">
        <f>(Staff_Master!A7)</f>
        <v>平川</v>
      </c>
      <c r="B9" s="43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 t="s">
        <v>44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39"/>
      <c r="AG9" s="5"/>
    </row>
    <row r="10" spans="1:34" ht="18.95" customHeight="1">
      <c r="A10" s="16" t="str">
        <f>(Staff_Master!A8)</f>
        <v>榊原</v>
      </c>
      <c r="B10" s="43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44"/>
      <c r="AG10" s="5"/>
    </row>
    <row r="11" spans="1:34" ht="18.95" customHeight="1">
      <c r="A11" s="16" t="str">
        <f>(Staff_Master!A9)</f>
        <v>松本</v>
      </c>
      <c r="B11" s="43" t="s">
        <v>52</v>
      </c>
      <c r="C11" s="7"/>
      <c r="D11" s="7"/>
      <c r="E11" s="7" t="s">
        <v>52</v>
      </c>
      <c r="F11" s="7"/>
      <c r="G11" s="7"/>
      <c r="H11" s="7"/>
      <c r="I11" s="7" t="s">
        <v>52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 t="s">
        <v>46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44"/>
      <c r="AG11" s="5"/>
    </row>
    <row r="12" spans="1:34" ht="18.95" customHeight="1">
      <c r="A12" s="16" t="str">
        <f>(Staff_Master!A10)</f>
        <v>小島</v>
      </c>
      <c r="B12" s="43" t="s">
        <v>52</v>
      </c>
      <c r="C12" s="7" t="s">
        <v>108</v>
      </c>
      <c r="D12" s="7" t="s">
        <v>108</v>
      </c>
      <c r="E12" s="7" t="s">
        <v>108</v>
      </c>
      <c r="F12" s="7" t="s">
        <v>108</v>
      </c>
      <c r="G12" s="7" t="s">
        <v>108</v>
      </c>
      <c r="H12" s="7" t="s">
        <v>52</v>
      </c>
      <c r="I12" s="7" t="s">
        <v>108</v>
      </c>
      <c r="J12" s="7" t="s">
        <v>108</v>
      </c>
      <c r="K12" s="7"/>
      <c r="L12" s="7"/>
      <c r="M12" s="7"/>
      <c r="N12" s="7"/>
      <c r="O12" s="7"/>
      <c r="P12" s="7"/>
      <c r="Q12" s="7" t="s">
        <v>52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44"/>
      <c r="AG12" s="5"/>
    </row>
    <row r="13" spans="1:34" ht="18.95" customHeight="1">
      <c r="A13" s="16">
        <f>(Staff_Master!A11)</f>
        <v>0</v>
      </c>
      <c r="B13" s="43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44"/>
      <c r="AG13" s="5"/>
    </row>
    <row r="14" spans="1:34" ht="18.95" customHeight="1">
      <c r="A14" s="16">
        <f>(Staff_Master!A12)</f>
        <v>0</v>
      </c>
      <c r="B14" s="4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44"/>
      <c r="AG14" s="5"/>
    </row>
    <row r="15" spans="1:34" ht="18.95" customHeight="1" thickBot="1">
      <c r="A15" s="17">
        <f>(Staff_Master!A13)</f>
        <v>0</v>
      </c>
      <c r="B15" s="60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3"/>
      <c r="AG15" s="5"/>
    </row>
    <row r="19" spans="1:1">
      <c r="A19" s="23"/>
    </row>
    <row r="20" spans="1:1">
      <c r="A20" s="23"/>
    </row>
    <row r="21" spans="1:1">
      <c r="A21" s="23"/>
    </row>
    <row r="22" spans="1:1">
      <c r="A22" s="23"/>
    </row>
  </sheetData>
  <mergeCells count="1">
    <mergeCell ref="A2:A3"/>
  </mergeCells>
  <phoneticPr fontId="1"/>
  <conditionalFormatting sqref="B2:AF3">
    <cfRule type="expression" dxfId="4" priority="1">
      <formula>MONTH(B2)&lt;&gt;MONTH($A$1)</formula>
    </cfRule>
  </conditionalFormatting>
  <dataValidations count="1">
    <dataValidation type="list" allowBlank="1" showInputMessage="1" showErrorMessage="1" sqref="B4:AF15">
      <formula1>"早出,日勤,遅出,夜勤,休み,有給"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zoomScale="130" zoomScaleNormal="130" workbookViewId="0">
      <selection activeCell="I11" sqref="I11"/>
    </sheetView>
  </sheetViews>
  <sheetFormatPr defaultRowHeight="13.5"/>
  <cols>
    <col min="1" max="1" width="11.625" style="3" bestFit="1" customWidth="1"/>
    <col min="2" max="6" width="6.125" customWidth="1"/>
  </cols>
  <sheetData>
    <row r="1" spans="1:6" ht="18.95" customHeight="1" thickBot="1">
      <c r="A1" s="26">
        <f>Shift_Requests!A1-1</f>
        <v>46081</v>
      </c>
      <c r="B1" t="s">
        <v>88</v>
      </c>
    </row>
    <row r="2" spans="1:6" s="3" customFormat="1" ht="18.95" customHeight="1" thickBot="1">
      <c r="A2" s="14" t="s">
        <v>15</v>
      </c>
      <c r="B2" s="27">
        <f t="shared" ref="B2:D2" si="0">C2-1</f>
        <v>46077</v>
      </c>
      <c r="C2" s="27">
        <f t="shared" si="0"/>
        <v>46078</v>
      </c>
      <c r="D2" s="27">
        <f t="shared" si="0"/>
        <v>46079</v>
      </c>
      <c r="E2" s="27">
        <f>F2-1</f>
        <v>46080</v>
      </c>
      <c r="F2" s="45">
        <f>EOMONTH(Settings!B2,-1)</f>
        <v>46081</v>
      </c>
    </row>
    <row r="3" spans="1:6" ht="18.95" customHeight="1">
      <c r="A3" s="15" t="str">
        <f>Staff_Master!A2</f>
        <v>内野</v>
      </c>
      <c r="B3" s="11" t="s">
        <v>46</v>
      </c>
      <c r="C3" s="11" t="s">
        <v>52</v>
      </c>
      <c r="D3" s="11" t="s">
        <v>46</v>
      </c>
      <c r="E3" s="11" t="s">
        <v>48</v>
      </c>
      <c r="F3" s="44" t="s">
        <v>48</v>
      </c>
    </row>
    <row r="4" spans="1:6" ht="18.95" customHeight="1">
      <c r="A4" s="16" t="str">
        <f>Staff_Master!A3</f>
        <v>千本</v>
      </c>
      <c r="B4" s="11" t="s">
        <v>48</v>
      </c>
      <c r="C4" s="11" t="s">
        <v>48</v>
      </c>
      <c r="D4" s="11" t="s">
        <v>48</v>
      </c>
      <c r="E4" s="11" t="s">
        <v>52</v>
      </c>
      <c r="F4" s="44" t="s">
        <v>52</v>
      </c>
    </row>
    <row r="5" spans="1:6" ht="18.95" customHeight="1">
      <c r="A5" s="16" t="str">
        <f>Staff_Master!A4</f>
        <v>佐々木</v>
      </c>
      <c r="B5" s="11" t="s">
        <v>48</v>
      </c>
      <c r="C5" s="11" t="s">
        <v>52</v>
      </c>
      <c r="D5" s="11" t="s">
        <v>52</v>
      </c>
      <c r="E5" s="11" t="s">
        <v>52</v>
      </c>
      <c r="F5" s="44" t="s">
        <v>44</v>
      </c>
    </row>
    <row r="6" spans="1:6" ht="18.95" customHeight="1">
      <c r="A6" s="16" t="str">
        <f>Staff_Master!A5</f>
        <v>近藤</v>
      </c>
      <c r="B6" s="11" t="s">
        <v>52</v>
      </c>
      <c r="C6" s="11" t="s">
        <v>44</v>
      </c>
      <c r="D6" s="11" t="s">
        <v>48</v>
      </c>
      <c r="E6" s="11" t="s">
        <v>52</v>
      </c>
      <c r="F6" s="44" t="s">
        <v>52</v>
      </c>
    </row>
    <row r="7" spans="1:6" ht="18.95" customHeight="1">
      <c r="A7" s="16" t="str">
        <f>Staff_Master!A6</f>
        <v>長谷川</v>
      </c>
      <c r="B7" s="11" t="s">
        <v>44</v>
      </c>
      <c r="C7" s="11" t="s">
        <v>52</v>
      </c>
      <c r="D7" s="11" t="s">
        <v>44</v>
      </c>
      <c r="E7" s="11" t="s">
        <v>44</v>
      </c>
      <c r="F7" s="44" t="s">
        <v>52</v>
      </c>
    </row>
    <row r="8" spans="1:6" ht="18.95" customHeight="1">
      <c r="A8" s="16" t="str">
        <f>Staff_Master!A7</f>
        <v>平川</v>
      </c>
      <c r="B8" s="11" t="s">
        <v>50</v>
      </c>
      <c r="C8" s="11" t="s">
        <v>52</v>
      </c>
      <c r="D8" s="11" t="s">
        <v>44</v>
      </c>
      <c r="E8" s="11" t="s">
        <v>52</v>
      </c>
      <c r="F8" s="44" t="s">
        <v>50</v>
      </c>
    </row>
    <row r="9" spans="1:6" ht="18.95" customHeight="1">
      <c r="A9" s="16" t="str">
        <f>Staff_Master!A8</f>
        <v>榊原</v>
      </c>
      <c r="B9" s="11" t="s">
        <v>48</v>
      </c>
      <c r="C9" s="11" t="s">
        <v>52</v>
      </c>
      <c r="D9" s="11" t="s">
        <v>48</v>
      </c>
      <c r="E9" s="11" t="s">
        <v>50</v>
      </c>
      <c r="F9" s="44" t="s">
        <v>52</v>
      </c>
    </row>
    <row r="10" spans="1:6" ht="18.95" customHeight="1">
      <c r="A10" s="16" t="str">
        <f>Staff_Master!A9</f>
        <v>松本</v>
      </c>
      <c r="B10" s="11" t="s">
        <v>48</v>
      </c>
      <c r="C10" s="11" t="s">
        <v>52</v>
      </c>
      <c r="D10" s="11" t="s">
        <v>44</v>
      </c>
      <c r="E10" s="11" t="s">
        <v>44</v>
      </c>
      <c r="F10" s="44" t="s">
        <v>52</v>
      </c>
    </row>
    <row r="11" spans="1:6" ht="18.95" customHeight="1">
      <c r="A11" s="16" t="str">
        <f>Staff_Master!A10</f>
        <v>小島</v>
      </c>
      <c r="B11" s="11" t="s">
        <v>44</v>
      </c>
      <c r="C11" s="11" t="s">
        <v>48</v>
      </c>
      <c r="D11" s="11" t="s">
        <v>50</v>
      </c>
      <c r="E11" s="11" t="s">
        <v>52</v>
      </c>
      <c r="F11" s="44" t="s">
        <v>44</v>
      </c>
    </row>
    <row r="12" spans="1:6" ht="18.95" customHeight="1">
      <c r="A12" s="16">
        <f>Staff_Master!A11</f>
        <v>0</v>
      </c>
      <c r="B12" s="11"/>
      <c r="C12" s="11"/>
      <c r="D12" s="11"/>
      <c r="E12" s="11"/>
      <c r="F12" s="44"/>
    </row>
    <row r="13" spans="1:6" ht="18.95" customHeight="1">
      <c r="A13" s="16">
        <f>Staff_Master!A12</f>
        <v>0</v>
      </c>
      <c r="B13" s="11"/>
      <c r="C13" s="11"/>
      <c r="D13" s="11"/>
      <c r="E13" s="11"/>
      <c r="F13" s="44"/>
    </row>
    <row r="14" spans="1:6" ht="18.95" customHeight="1" thickBot="1">
      <c r="A14" s="17">
        <f>Staff_Master!A13</f>
        <v>0</v>
      </c>
      <c r="B14" s="38"/>
      <c r="C14" s="13"/>
      <c r="D14" s="13"/>
      <c r="E14" s="13"/>
      <c r="F14" s="41"/>
    </row>
  </sheetData>
  <phoneticPr fontId="1"/>
  <conditionalFormatting sqref="B2:F2">
    <cfRule type="expression" dxfId="3" priority="1">
      <formula>MONTH(B2)&lt;&gt;MONTH($A$1)</formula>
    </cfRule>
    <cfRule type="expression" dxfId="2" priority="5">
      <formula>MONTH(B2)&lt;&gt;MONTH($A$1)</formula>
    </cfRule>
    <cfRule type="expression" dxfId="1" priority="7">
      <formula>MONTH(B2)&lt;&gt;MONTH($A$1)</formula>
    </cfRule>
  </conditionalFormatting>
  <conditionalFormatting sqref="B2:F2">
    <cfRule type="expression" dxfId="0" priority="6">
      <formula>MONTH(B2)&lt;&gt;MONTH($A$1)</formula>
    </cfRule>
  </conditionalFormatting>
  <dataValidations count="1">
    <dataValidation type="list" allowBlank="1" showInputMessage="1" showErrorMessage="1" sqref="B3:F14">
      <formula1>"早出,日勤,遅出,夜勤,休み"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4"/>
  <sheetViews>
    <sheetView workbookViewId="0">
      <selection activeCell="A22" sqref="A22"/>
    </sheetView>
  </sheetViews>
  <sheetFormatPr defaultRowHeight="13.5"/>
  <cols>
    <col min="1" max="2" width="9" style="3"/>
    <col min="3" max="33" width="4.125" style="3" customWidth="1"/>
    <col min="34" max="38" width="6.875" style="3" customWidth="1"/>
  </cols>
  <sheetData>
    <row r="1" spans="1:38">
      <c r="A1" s="61" t="s">
        <v>18</v>
      </c>
      <c r="B1" s="39" t="s">
        <v>101</v>
      </c>
      <c r="C1" s="57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39"/>
    </row>
    <row r="2" spans="1:38" ht="14.25" thickBot="1">
      <c r="A2" s="60"/>
      <c r="B2" s="41" t="s">
        <v>102</v>
      </c>
      <c r="C2" s="13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41"/>
      <c r="AH2" s="56"/>
    </row>
    <row r="3" spans="1:38">
      <c r="A3" s="43" t="s">
        <v>100</v>
      </c>
      <c r="B3" s="44" t="s">
        <v>15</v>
      </c>
      <c r="C3" s="11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44"/>
      <c r="AH3" s="43" t="s">
        <v>19</v>
      </c>
      <c r="AI3" s="55" t="s">
        <v>20</v>
      </c>
      <c r="AJ3" s="55" t="s">
        <v>47</v>
      </c>
      <c r="AK3" s="55" t="s">
        <v>21</v>
      </c>
      <c r="AL3" s="39" t="s">
        <v>36</v>
      </c>
    </row>
    <row r="4" spans="1:38">
      <c r="A4" s="37"/>
      <c r="B4" s="40"/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40"/>
      <c r="AH4" s="37"/>
      <c r="AI4" s="2"/>
      <c r="AJ4" s="2"/>
      <c r="AK4" s="2"/>
      <c r="AL4" s="40"/>
    </row>
    <row r="5" spans="1:38">
      <c r="A5" s="37"/>
      <c r="B5" s="40"/>
      <c r="C5" s="1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40"/>
      <c r="AH5" s="37"/>
      <c r="AI5" s="2"/>
      <c r="AJ5" s="2"/>
      <c r="AK5" s="2"/>
      <c r="AL5" s="40"/>
    </row>
    <row r="6" spans="1:38">
      <c r="A6" s="37"/>
      <c r="B6" s="40"/>
      <c r="C6" s="1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40"/>
      <c r="AH6" s="37"/>
      <c r="AI6" s="2"/>
      <c r="AJ6" s="2"/>
      <c r="AK6" s="2"/>
      <c r="AL6" s="40"/>
    </row>
    <row r="7" spans="1:38">
      <c r="A7" s="37"/>
      <c r="B7" s="40"/>
      <c r="C7" s="1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40"/>
      <c r="AH7" s="37"/>
      <c r="AI7" s="2"/>
      <c r="AJ7" s="2"/>
      <c r="AK7" s="2"/>
      <c r="AL7" s="40"/>
    </row>
    <row r="8" spans="1:38">
      <c r="A8" s="37"/>
      <c r="B8" s="40"/>
      <c r="C8" s="1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40"/>
      <c r="AH8" s="37"/>
      <c r="AI8" s="2"/>
      <c r="AJ8" s="2"/>
      <c r="AK8" s="2"/>
      <c r="AL8" s="40"/>
    </row>
    <row r="9" spans="1:38">
      <c r="A9" s="37"/>
      <c r="B9" s="40"/>
      <c r="C9" s="1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40"/>
      <c r="AH9" s="37"/>
      <c r="AI9" s="2"/>
      <c r="AJ9" s="2"/>
      <c r="AK9" s="2"/>
      <c r="AL9" s="40"/>
    </row>
    <row r="10" spans="1:38">
      <c r="A10" s="37"/>
      <c r="B10" s="40"/>
      <c r="C10" s="1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40"/>
      <c r="AH10" s="37"/>
      <c r="AI10" s="2"/>
      <c r="AJ10" s="2"/>
      <c r="AK10" s="2"/>
      <c r="AL10" s="40"/>
    </row>
    <row r="11" spans="1:38">
      <c r="A11" s="37"/>
      <c r="B11" s="40"/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40"/>
      <c r="AH11" s="37"/>
      <c r="AI11" s="2"/>
      <c r="AJ11" s="2"/>
      <c r="AK11" s="2"/>
      <c r="AL11" s="40"/>
    </row>
    <row r="12" spans="1:38">
      <c r="A12" s="37"/>
      <c r="B12" s="40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40"/>
      <c r="AH12" s="37"/>
      <c r="AI12" s="2"/>
      <c r="AJ12" s="2"/>
      <c r="AK12" s="2"/>
      <c r="AL12" s="40"/>
    </row>
    <row r="13" spans="1:38">
      <c r="A13" s="37"/>
      <c r="B13" s="40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40"/>
      <c r="AH13" s="37"/>
      <c r="AI13" s="2"/>
      <c r="AJ13" s="2"/>
      <c r="AK13" s="2"/>
      <c r="AL13" s="40"/>
    </row>
    <row r="14" spans="1:38">
      <c r="A14" s="37"/>
      <c r="B14" s="40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40"/>
      <c r="AH14" s="37"/>
      <c r="AI14" s="2"/>
      <c r="AJ14" s="2"/>
      <c r="AK14" s="2"/>
      <c r="AL14" s="40"/>
    </row>
    <row r="15" spans="1:38">
      <c r="A15" s="37"/>
      <c r="B15" s="40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40"/>
      <c r="AH15" s="37"/>
      <c r="AI15" s="2"/>
      <c r="AJ15" s="2"/>
      <c r="AK15" s="2"/>
      <c r="AL15" s="40"/>
    </row>
    <row r="16" spans="1:38">
      <c r="A16" s="37"/>
      <c r="B16" s="40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40"/>
      <c r="AH16" s="37"/>
      <c r="AI16" s="2"/>
      <c r="AJ16" s="2"/>
      <c r="AK16" s="2"/>
      <c r="AL16" s="40"/>
    </row>
    <row r="17" spans="1:38">
      <c r="A17" s="37"/>
      <c r="B17" s="40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40"/>
      <c r="AH17" s="37"/>
      <c r="AI17" s="2"/>
      <c r="AJ17" s="2"/>
      <c r="AK17" s="2"/>
      <c r="AL17" s="40"/>
    </row>
    <row r="18" spans="1:38">
      <c r="A18" s="37"/>
      <c r="B18" s="40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40"/>
      <c r="AH18" s="37"/>
      <c r="AI18" s="2"/>
      <c r="AJ18" s="2"/>
      <c r="AK18" s="2"/>
      <c r="AL18" s="40"/>
    </row>
    <row r="19" spans="1:38" ht="14.25" thickBot="1">
      <c r="A19" s="38"/>
      <c r="B19" s="58"/>
      <c r="C19" s="1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41"/>
      <c r="AH19" s="38"/>
      <c r="AI19" s="6"/>
      <c r="AJ19" s="6"/>
      <c r="AK19" s="6"/>
      <c r="AL19" s="41"/>
    </row>
    <row r="20" spans="1:38">
      <c r="B20" s="59" t="s">
        <v>103</v>
      </c>
      <c r="C20" s="57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39"/>
    </row>
    <row r="21" spans="1:38">
      <c r="B21" s="16" t="s">
        <v>104</v>
      </c>
      <c r="C21" s="1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40"/>
    </row>
    <row r="22" spans="1:38">
      <c r="B22" s="16" t="s">
        <v>105</v>
      </c>
      <c r="C22" s="1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0"/>
    </row>
    <row r="23" spans="1:38">
      <c r="B23" s="16" t="s">
        <v>106</v>
      </c>
      <c r="C23" s="1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40"/>
    </row>
    <row r="24" spans="1:38" ht="14.25" thickBot="1">
      <c r="B24" s="17" t="s">
        <v>21</v>
      </c>
      <c r="C24" s="1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41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Staff_Master</vt:lpstr>
      <vt:lpstr>Settings</vt:lpstr>
      <vt:lpstr>Shift_Requests</vt:lpstr>
      <vt:lpstr>Prev_Month</vt:lpstr>
      <vt:lpstr>shift_result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 uchino</dc:creator>
  <cp:lastModifiedBy>kento uchino</cp:lastModifiedBy>
  <dcterms:created xsi:type="dcterms:W3CDTF">2026-01-31T13:24:09Z</dcterms:created>
  <dcterms:modified xsi:type="dcterms:W3CDTF">2026-02-26T23:53:43Z</dcterms:modified>
</cp:coreProperties>
</file>